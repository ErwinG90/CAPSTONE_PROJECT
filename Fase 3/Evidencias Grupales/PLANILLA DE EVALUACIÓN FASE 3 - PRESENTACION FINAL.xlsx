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934" documentId="8_{2EFDF332-31E9-4C74-A6B5-E695634C1C45}" xr6:coauthVersionLast="47" xr6:coauthVersionMax="47" xr10:uidLastSave="{7FE16E6A-6465-4926-94B4-80527E93E189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<sst xmlns="http://schemas.openxmlformats.org/spreadsheetml/2006/main" count="164" uniqueCount="66">
  <si>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</si>
  <si>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</si>
  <si>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</si>
  <si>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</si>
  <si>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CINDY BEYER</t>
  </si>
  <si>
    <t>ERWIN GONZALEZ</t>
  </si>
  <si>
    <t>BARBARA RIFFO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</si>
  <si>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</si>
  <si>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</si>
  <si>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</si>
  <si>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</si>
  <si>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</si>
  <si>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</si>
  <si>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</si>
  <si>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</si>
  <si>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</si>
  <si>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</si>
  <si>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</si>
  <si>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Logro incipiente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</si>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</sst>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M42" sqref="M42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4.8</v>
      </c>
      <c r="D4" s="37">
        <f>C60</f>
        <v>4</v>
      </c>
      <c r="E4" s="36">
        <f>C4*C$2+D4*D$2</f>
        <v>4.5599999999999996</v>
      </c>
    </row>
    <row r="5" spans="1:11" ht="14.45">
      <c r="A5" s="3">
        <v>2</v>
      </c>
      <c r="B5" s="16" t="s">
        <v>5</v>
      </c>
      <c r="C5" s="31">
        <f>C34</f>
        <v>4.8</v>
      </c>
      <c r="D5" s="37">
        <f>C73</f>
        <v>4</v>
      </c>
      <c r="E5" s="36">
        <f t="shared" ref="E5:E6" si="0">C5*C$2+D5*D$2</f>
        <v>4.5599999999999996</v>
      </c>
    </row>
    <row r="6" spans="1:11" ht="14.45">
      <c r="A6" s="3">
        <v>3</v>
      </c>
      <c r="B6" s="16" t="s">
        <v>6</v>
      </c>
      <c r="C6" s="31">
        <f>C47</f>
        <v>4.8</v>
      </c>
      <c r="D6" s="37">
        <f>C86</f>
        <v>4</v>
      </c>
      <c r="E6" s="36">
        <f t="shared" si="0"/>
        <v>4.5599999999999996</v>
      </c>
    </row>
    <row r="11" spans="1:11" ht="18" outlineLevel="1">
      <c r="A11" s="43" t="s">
        <v>7</v>
      </c>
      <c r="B11" s="11" t="str">
        <f>B4</f>
        <v>CINDY BEYER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12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12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12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12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12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70</v>
      </c>
      <c r="D20" s="13"/>
      <c r="E20" s="13">
        <f>SUM(E13:E19)</f>
        <v>25</v>
      </c>
      <c r="F20" s="13"/>
      <c r="G20" s="13">
        <f>SUM(G13:G19)</f>
        <v>45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4.8</v>
      </c>
    </row>
    <row r="22" spans="1:11" ht="15.75" customHeight="1"/>
    <row r="23" spans="1:11" ht="15.75" customHeight="1"/>
    <row r="24" spans="1:11" ht="24" customHeight="1">
      <c r="A24" s="43" t="s">
        <v>7</v>
      </c>
      <c r="B24" s="11" t="str">
        <f>B5</f>
        <v>ERWIN GONZALEZ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12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12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12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12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12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70</v>
      </c>
      <c r="D33" s="13"/>
      <c r="E33" s="13">
        <f>SUM(E26:E32)</f>
        <v>25</v>
      </c>
      <c r="F33" s="13"/>
      <c r="G33" s="13">
        <f>SUM(G26:G32)</f>
        <v>45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4.8</v>
      </c>
    </row>
    <row r="35" spans="1:11" ht="16.149999999999999" customHeight="1"/>
    <row r="36" spans="1:11" ht="13.9" customHeight="1"/>
    <row r="37" spans="1:11" ht="24" customHeight="1">
      <c r="A37" s="43" t="s">
        <v>7</v>
      </c>
      <c r="B37" s="11" t="str">
        <f>B6</f>
        <v>BARBARA RIFFO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12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12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12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12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12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70</v>
      </c>
      <c r="D46" s="13"/>
      <c r="E46" s="13">
        <f>SUM(E39:E45)</f>
        <v>25</v>
      </c>
      <c r="F46" s="13"/>
      <c r="G46" s="13">
        <f>SUM(G39:G45)</f>
        <v>45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4.8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CINDY BEYER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12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12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18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>X</v>
      </c>
      <c r="I54" s="12">
        <f>IF(H54="X",30*0.2,"")</f>
        <v>6</v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12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12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18</v>
      </c>
      <c r="D58" s="12" t="str">
        <f>IF($C58=CL,"X","")</f>
        <v/>
      </c>
      <c r="E58" s="12" t="str">
        <f>IF(D58="X",100*0.1,"")</f>
        <v/>
      </c>
      <c r="F58" s="12" t="str">
        <f>IF($C58=L,"X","")</f>
        <v/>
      </c>
      <c r="G58" s="12" t="str">
        <f>IF(F58="X",60*0.1,"")</f>
        <v/>
      </c>
      <c r="H58" s="12" t="str">
        <f>IF($C58=ML,"X","")</f>
        <v>X</v>
      </c>
      <c r="I58" s="12">
        <f>IF(H58="X",30*0.1,"")</f>
        <v>3</v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59</v>
      </c>
      <c r="D59" s="13"/>
      <c r="E59" s="13">
        <f>SUM(E52:E58)</f>
        <v>20</v>
      </c>
      <c r="F59" s="13"/>
      <c r="G59" s="13">
        <f>SUM(G52:G58)</f>
        <v>30</v>
      </c>
      <c r="H59" s="13"/>
      <c r="I59" s="13">
        <f>SUM(I52:I58)</f>
        <v>9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4</v>
      </c>
    </row>
    <row r="61" spans="1:11" ht="15.75" customHeight="1"/>
    <row r="62" spans="1:11" ht="15.75" customHeight="1"/>
    <row r="63" spans="1:11" ht="24" customHeight="1">
      <c r="A63" s="39" t="s">
        <v>19</v>
      </c>
      <c r="B63" s="11" t="str">
        <f>B5</f>
        <v>ERWIN GONZALEZ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12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12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18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12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12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18</v>
      </c>
      <c r="D71" s="12" t="str">
        <f>IF($C71=CL,"X","")</f>
        <v/>
      </c>
      <c r="E71" s="12" t="str">
        <f>IF(D71="X",100*0.1,"")</f>
        <v/>
      </c>
      <c r="F71" s="12" t="str">
        <f>IF($C71=L,"X","")</f>
        <v/>
      </c>
      <c r="G71" s="12" t="str">
        <f>IF(F71="X",60*0.1,"")</f>
        <v/>
      </c>
      <c r="H71" s="12" t="str">
        <f>IF($C71=ML,"X","")</f>
        <v>X</v>
      </c>
      <c r="I71" s="12">
        <f>IF(H71="X",30*0.1,"")</f>
        <v>3</v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59</v>
      </c>
      <c r="D72" s="13"/>
      <c r="E72" s="13">
        <f>SUM(E65:E71)</f>
        <v>20</v>
      </c>
      <c r="F72" s="13"/>
      <c r="G72" s="13">
        <f>SUM(G65:G71)</f>
        <v>30</v>
      </c>
      <c r="H72" s="13"/>
      <c r="I72" s="13">
        <f>SUM(I65:I71)</f>
        <v>9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4</v>
      </c>
    </row>
    <row r="74" spans="1:11" ht="15.75" customHeight="1"/>
    <row r="75" spans="1:11" ht="15.75" customHeight="1"/>
    <row r="76" spans="1:11" ht="24" customHeight="1">
      <c r="A76" s="39" t="s">
        <v>20</v>
      </c>
      <c r="B76" s="11" t="str">
        <f>B6</f>
        <v>BARBARA RIFFO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12</v>
      </c>
      <c r="D78" s="12" t="str">
        <f t="shared" ref="D78:D82" si="27">IF($C78=CL,"X","")</f>
        <v/>
      </c>
      <c r="E78" s="12" t="str">
        <f>IF(D78="X",100*0.15,"")</f>
        <v/>
      </c>
      <c r="F78" s="12" t="str">
        <f t="shared" ref="F78:F82" si="28">IF($C78=L,"X","")</f>
        <v>X</v>
      </c>
      <c r="G78" s="12">
        <f>IF(F78="X",60*0.15,"")</f>
        <v>9</v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12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18</v>
      </c>
      <c r="D80" s="12" t="str">
        <f t="shared" si="27"/>
        <v/>
      </c>
      <c r="E80" s="12" t="str">
        <f>IF(D80="X",100*0.2,"")</f>
        <v/>
      </c>
      <c r="F80" s="12" t="str">
        <f t="shared" si="28"/>
        <v/>
      </c>
      <c r="G80" s="12" t="str">
        <f>IF(F80="X",60*0.2,"")</f>
        <v/>
      </c>
      <c r="H80" s="12" t="str">
        <f t="shared" si="29"/>
        <v>X</v>
      </c>
      <c r="I80" s="12">
        <f>IF(H80="X",30*0.2,"")</f>
        <v>6</v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12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12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18</v>
      </c>
      <c r="D84" s="12" t="str">
        <f>IF($C84=CL,"X","")</f>
        <v/>
      </c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>X</v>
      </c>
      <c r="I84" s="12">
        <f>IF(H84="X",30*0.1,"")</f>
        <v>3</v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59</v>
      </c>
      <c r="D85" s="13"/>
      <c r="E85" s="13">
        <f>SUM(E78:E84)</f>
        <v>20</v>
      </c>
      <c r="F85" s="13"/>
      <c r="G85" s="13">
        <f>SUM(G78:G84)</f>
        <v>30</v>
      </c>
      <c r="H85" s="13"/>
      <c r="I85" s="13">
        <f>SUM(I78:I84)</f>
        <v>9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4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21</v>
      </c>
      <c r="B1" s="46" t="s">
        <v>22</v>
      </c>
      <c r="C1" s="47"/>
      <c r="D1" s="47"/>
      <c r="E1" s="48"/>
      <c r="F1" s="44" t="s">
        <v>23</v>
      </c>
    </row>
    <row r="2" spans="1:6">
      <c r="A2" s="45"/>
      <c r="B2" s="49" t="s">
        <v>24</v>
      </c>
      <c r="C2" s="49" t="s">
        <v>25</v>
      </c>
      <c r="D2" s="25" t="s">
        <v>26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27</v>
      </c>
      <c r="B4" s="23" t="s">
        <v>28</v>
      </c>
      <c r="C4" s="23" t="s">
        <v>29</v>
      </c>
      <c r="D4" s="23" t="s">
        <v>30</v>
      </c>
      <c r="E4" s="23" t="s">
        <v>31</v>
      </c>
      <c r="F4" s="28">
        <v>15</v>
      </c>
    </row>
    <row r="5" spans="1:6" ht="136.9" customHeight="1">
      <c r="A5" s="23" t="s">
        <v>32</v>
      </c>
      <c r="B5" s="23" t="s">
        <v>33</v>
      </c>
      <c r="C5" s="23" t="s">
        <v>34</v>
      </c>
      <c r="D5" s="23" t="s">
        <v>35</v>
      </c>
      <c r="E5" s="23" t="s">
        <v>36</v>
      </c>
      <c r="F5" s="28">
        <v>25</v>
      </c>
    </row>
    <row r="6" spans="1:6" ht="87" customHeight="1">
      <c r="A6" s="23" t="s">
        <v>37</v>
      </c>
      <c r="B6" s="23" t="s">
        <v>38</v>
      </c>
      <c r="C6" s="23" t="s">
        <v>39</v>
      </c>
      <c r="D6" s="23" t="s">
        <v>40</v>
      </c>
      <c r="E6" s="23" t="s">
        <v>41</v>
      </c>
      <c r="F6" s="28">
        <v>20</v>
      </c>
    </row>
    <row r="7" spans="1:6" ht="96.6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8">
        <v>5</v>
      </c>
    </row>
    <row r="8" spans="1:6" ht="96.6">
      <c r="A8" s="23" t="s">
        <v>47</v>
      </c>
      <c r="B8" s="23" t="s">
        <v>48</v>
      </c>
      <c r="C8" s="23" t="s">
        <v>49</v>
      </c>
      <c r="D8" s="23" t="s">
        <v>50</v>
      </c>
      <c r="E8" s="23" t="s">
        <v>51</v>
      </c>
      <c r="F8" s="28">
        <v>5</v>
      </c>
    </row>
    <row r="9" spans="1:6" ht="96.6">
      <c r="A9" s="23" t="s">
        <v>52</v>
      </c>
      <c r="B9" s="23" t="s">
        <v>53</v>
      </c>
      <c r="C9" s="23" t="s">
        <v>54</v>
      </c>
      <c r="D9" s="23" t="s">
        <v>55</v>
      </c>
      <c r="E9" s="23" t="s">
        <v>56</v>
      </c>
      <c r="F9" s="24">
        <v>20</v>
      </c>
    </row>
    <row r="10" spans="1:6" ht="126" customHeight="1">
      <c r="A10" s="23" t="s">
        <v>57</v>
      </c>
      <c r="B10" s="23" t="s">
        <v>58</v>
      </c>
      <c r="C10" s="23" t="s">
        <v>59</v>
      </c>
      <c r="D10" s="23" t="s">
        <v>60</v>
      </c>
      <c r="E10" s="23" t="s">
        <v>61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62</v>
      </c>
      <c r="B1" t="s">
        <v>63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64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18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2025-12-16T00:24:00Z</dcterms:modified>
  <cp:category/>
  <cp:contentStatus/>
</cp:coreProperties>
</file>